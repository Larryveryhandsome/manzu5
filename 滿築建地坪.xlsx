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8750" activeTab="1"/>
  </bookViews>
  <sheets>
    <sheet name="工作表1" sheetId="1" r:id="rId1"/>
    <sheet name="工作表1 (3)" sheetId="2" r:id="rId2"/>
    <sheet name="工作表1 (2)" sheetId="3" r:id="rId3"/>
    <sheet name="資材設備" sheetId="4" r:id="rId4"/>
  </sheets>
  <calcPr calcId="144525"/>
</workbook>
</file>

<file path=xl/sharedStrings.xml><?xml version="1.0" encoding="utf-8"?>
<sst xmlns="http://schemas.openxmlformats.org/spreadsheetml/2006/main" count="44">
  <si>
    <t>樓層</t>
  </si>
  <si>
    <t>戶名</t>
  </si>
  <si>
    <t>單價</t>
  </si>
  <si>
    <t>坪數</t>
  </si>
  <si>
    <t>總價</t>
  </si>
  <si>
    <t>調整</t>
  </si>
  <si>
    <t>調整後單價</t>
  </si>
  <si>
    <t>調整後總價</t>
  </si>
  <si>
    <t>溢價</t>
  </si>
  <si>
    <t>溢價6成</t>
  </si>
  <si>
    <t>溢價4成</t>
  </si>
  <si>
    <t>2F</t>
  </si>
  <si>
    <t>B2</t>
  </si>
  <si>
    <t>B10</t>
  </si>
  <si>
    <t>3F</t>
  </si>
  <si>
    <t>C6</t>
  </si>
  <si>
    <t>C10</t>
  </si>
  <si>
    <t>4F</t>
  </si>
  <si>
    <t>D6</t>
  </si>
  <si>
    <t>D8</t>
  </si>
  <si>
    <t>持分地坪</t>
  </si>
  <si>
    <t>總建坪</t>
  </si>
  <si>
    <t>建坪</t>
  </si>
  <si>
    <t>附屬建坪</t>
  </si>
  <si>
    <t>共用</t>
  </si>
  <si>
    <t>原有傭收</t>
  </si>
  <si>
    <t>傭收比率</t>
  </si>
  <si>
    <t>分類</t>
  </si>
  <si>
    <t>項目</t>
  </si>
  <si>
    <t>需求天數/數量</t>
  </si>
  <si>
    <t>統計</t>
  </si>
  <si>
    <t>預估衍伸費用*1.2</t>
  </si>
  <si>
    <t>資材設備</t>
  </si>
  <si>
    <t>帆布</t>
  </si>
  <si>
    <t>旗幟</t>
  </si>
  <si>
    <t>珍珠板</t>
  </si>
  <si>
    <t>立板</t>
  </si>
  <si>
    <t>Dm</t>
  </si>
  <si>
    <t>現場投放</t>
  </si>
  <si>
    <t>廣告牆租金</t>
  </si>
  <si>
    <t>網路投放</t>
  </si>
  <si>
    <t>人力資源</t>
  </si>
  <si>
    <t>帆布掛置</t>
  </si>
  <si>
    <t>工讀生</t>
  </si>
</sst>
</file>

<file path=xl/styles.xml><?xml version="1.0" encoding="utf-8"?>
<styleSheet xmlns="http://schemas.openxmlformats.org/spreadsheetml/2006/main">
  <numFmts count="5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41" formatCode="_-* #,##0_-;\-* #,##0_-;_-* &quot;-&quot;_-;_-@_-"/>
    <numFmt numFmtId="176" formatCode="0.00_);[Red]\(0.00\)"/>
  </numFmts>
  <fonts count="27">
    <font>
      <sz val="20"/>
      <color theme="1"/>
      <name val="新細明體"/>
      <charset val="136"/>
      <scheme val="minor"/>
    </font>
    <font>
      <b/>
      <sz val="32"/>
      <color rgb="FFFFFFFF"/>
      <name val="Microsoft JhengHei"/>
      <charset val="134"/>
    </font>
    <font>
      <b/>
      <sz val="32"/>
      <color rgb="FFFFFFFF"/>
      <name val="Arial"/>
      <charset val="134"/>
    </font>
    <font>
      <b/>
      <sz val="26"/>
      <color rgb="FFFFFFFF"/>
      <name val="Microsoft JhengHei"/>
      <charset val="134"/>
    </font>
    <font>
      <sz val="28"/>
      <color rgb="FF000000"/>
      <name val="Calibri"/>
      <charset val="134"/>
    </font>
    <font>
      <b/>
      <sz val="24"/>
      <color rgb="FFFFFFFF"/>
      <name val="Microsoft JhengHei"/>
      <charset val="134"/>
    </font>
    <font>
      <b/>
      <sz val="32"/>
      <color rgb="FFFFFFFF"/>
      <name val="Microsoft JhengHei"/>
      <charset val="136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theme="0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13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4" fillId="15" borderId="26" applyNumberFormat="0" applyAlignment="0" applyProtection="0">
      <alignment vertical="center"/>
    </xf>
    <xf numFmtId="0" fontId="13" fillId="14" borderId="25" applyNumberFormat="0" applyAlignment="0" applyProtection="0">
      <alignment vertical="center"/>
    </xf>
    <xf numFmtId="0" fontId="15" fillId="14" borderId="26" applyNumberFormat="0" applyAlignment="0" applyProtection="0">
      <alignment vertical="center"/>
    </xf>
    <xf numFmtId="0" fontId="26" fillId="33" borderId="30" applyNumberFormat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wrapText="1" readingOrder="1"/>
    </xf>
    <xf numFmtId="0" fontId="4" fillId="3" borderId="18" xfId="0" applyFont="1" applyFill="1" applyBorder="1" applyAlignment="1">
      <alignment horizontal="center" vertical="center" wrapText="1" readingOrder="1"/>
    </xf>
    <xf numFmtId="0" fontId="4" fillId="3" borderId="19" xfId="0" applyFont="1" applyFill="1" applyBorder="1" applyAlignment="1">
      <alignment horizontal="center" vertical="center" wrapText="1" readingOrder="1"/>
    </xf>
    <xf numFmtId="2" fontId="4" fillId="3" borderId="19" xfId="0" applyNumberFormat="1" applyFont="1" applyFill="1" applyBorder="1" applyAlignment="1">
      <alignment horizontal="center" vertical="center" wrapText="1" readingOrder="1"/>
    </xf>
    <xf numFmtId="9" fontId="4" fillId="4" borderId="19" xfId="0" applyNumberFormat="1" applyFont="1" applyFill="1" applyBorder="1" applyAlignment="1">
      <alignment horizontal="center" vertical="center" wrapText="1" readingOrder="1"/>
    </xf>
    <xf numFmtId="176" fontId="4" fillId="3" borderId="19" xfId="0" applyNumberFormat="1" applyFont="1" applyFill="1" applyBorder="1" applyAlignment="1">
      <alignment horizontal="center" vertical="center" wrapText="1" readingOrder="1"/>
    </xf>
    <xf numFmtId="0" fontId="4" fillId="3" borderId="20" xfId="0" applyFont="1" applyFill="1" applyBorder="1" applyAlignment="1">
      <alignment horizontal="center" vertical="center" wrapText="1" readingOrder="1"/>
    </xf>
    <xf numFmtId="0" fontId="4" fillId="5" borderId="21" xfId="0" applyFont="1" applyFill="1" applyBorder="1" applyAlignment="1">
      <alignment horizontal="center" vertical="center" wrapText="1" readingOrder="1"/>
    </xf>
    <xf numFmtId="0" fontId="4" fillId="3" borderId="22" xfId="0" applyFont="1" applyFill="1" applyBorder="1" applyAlignment="1">
      <alignment horizontal="center" vertical="center" wrapText="1" readingOrder="1"/>
    </xf>
    <xf numFmtId="0" fontId="4" fillId="3" borderId="21" xfId="0" applyFont="1" applyFill="1" applyBorder="1" applyAlignment="1">
      <alignment horizontal="center" vertical="center" wrapText="1" readingOrder="1"/>
    </xf>
    <xf numFmtId="0" fontId="5" fillId="2" borderId="17" xfId="0" applyFont="1" applyFill="1" applyBorder="1" applyAlignment="1">
      <alignment horizontal="center" vertical="center" wrapText="1" readingOrder="1"/>
    </xf>
    <xf numFmtId="0" fontId="6" fillId="2" borderId="17" xfId="0" applyFont="1" applyFill="1" applyBorder="1" applyAlignment="1">
      <alignment horizontal="center" vertical="center" wrapText="1" readingOrder="1"/>
    </xf>
    <xf numFmtId="10" fontId="4" fillId="4" borderId="19" xfId="9" applyNumberFormat="1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2" fontId="4" fillId="3" borderId="5" xfId="0" applyNumberFormat="1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7"/>
  <sheetViews>
    <sheetView zoomScale="70" zoomScaleNormal="70" workbookViewId="0">
      <selection activeCell="L4" sqref="L4"/>
    </sheetView>
  </sheetViews>
  <sheetFormatPr defaultColWidth="16.1263157894737" defaultRowHeight="71.4" customHeight="1" outlineLevelRow="6"/>
  <cols>
    <col min="1" max="1" width="11" style="1" customWidth="1"/>
    <col min="2" max="3" width="11.6105263157895" style="1" customWidth="1"/>
    <col min="4" max="4" width="12.1894736842105" style="1" customWidth="1"/>
    <col min="5" max="5" width="10.4473684210526" style="1" customWidth="1"/>
    <col min="6" max="6" width="8.73684210526316" style="1" customWidth="1"/>
    <col min="7" max="8" width="16.1263157894737" style="1"/>
    <col min="9" max="9" width="12" style="1" customWidth="1"/>
    <col min="10" max="11" width="14.3210526315789" style="1" customWidth="1"/>
    <col min="12" max="16384" width="16.1263157894737" style="1"/>
  </cols>
  <sheetData>
    <row r="1" customHeight="1" spans="1:11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20" t="s">
        <v>6</v>
      </c>
      <c r="H1" s="20" t="s">
        <v>7</v>
      </c>
      <c r="I1" s="31" t="s">
        <v>8</v>
      </c>
      <c r="J1" s="18" t="s">
        <v>9</v>
      </c>
      <c r="K1" s="18" t="s">
        <v>10</v>
      </c>
    </row>
    <row r="2" customHeight="1" spans="1:11">
      <c r="A2" s="21" t="s">
        <v>11</v>
      </c>
      <c r="B2" s="22" t="s">
        <v>12</v>
      </c>
      <c r="C2" s="23">
        <f>E2/D2</f>
        <v>22.258168877386</v>
      </c>
      <c r="D2" s="22">
        <v>30.91</v>
      </c>
      <c r="E2" s="22">
        <v>688</v>
      </c>
      <c r="F2" s="24">
        <v>0.02</v>
      </c>
      <c r="G2" s="25">
        <f>H2/D2</f>
        <v>22.7033322549337</v>
      </c>
      <c r="H2" s="25">
        <f>E2*1+E2*F2</f>
        <v>701.76</v>
      </c>
      <c r="I2" s="25">
        <f t="shared" ref="I2:I7" si="0">H2-E2</f>
        <v>13.76</v>
      </c>
      <c r="J2" s="25">
        <f>I2*0.6</f>
        <v>8.25599999999999</v>
      </c>
      <c r="K2" s="25">
        <f>I2*0.4</f>
        <v>5.504</v>
      </c>
    </row>
    <row r="3" customHeight="1" spans="1:11">
      <c r="A3" s="26"/>
      <c r="B3" s="27" t="s">
        <v>13</v>
      </c>
      <c r="C3" s="23">
        <f t="shared" ref="C3:C7" si="1">E3/D3</f>
        <v>20.3829925348913</v>
      </c>
      <c r="D3" s="27">
        <v>30.81</v>
      </c>
      <c r="E3" s="27">
        <v>628</v>
      </c>
      <c r="F3" s="24">
        <v>0.02</v>
      </c>
      <c r="G3" s="25">
        <f t="shared" ref="G3:G7" si="2">H3/D3</f>
        <v>20.7906523855891</v>
      </c>
      <c r="H3" s="25">
        <f t="shared" ref="H3:H7" si="3">E3*1+E3*F3</f>
        <v>640.56</v>
      </c>
      <c r="I3" s="25">
        <f t="shared" si="0"/>
        <v>12.5599999999999</v>
      </c>
      <c r="J3" s="25">
        <f t="shared" ref="J3:J7" si="4">I3*0.6</f>
        <v>7.53599999999997</v>
      </c>
      <c r="K3" s="25">
        <f t="shared" ref="K3:K7" si="5">I3*0.4</f>
        <v>5.02399999999998</v>
      </c>
    </row>
    <row r="4" customHeight="1" spans="1:11">
      <c r="A4" s="28" t="s">
        <v>14</v>
      </c>
      <c r="B4" s="22" t="s">
        <v>15</v>
      </c>
      <c r="C4" s="23">
        <f t="shared" si="1"/>
        <v>22.662440570523</v>
      </c>
      <c r="D4" s="29">
        <v>31.55</v>
      </c>
      <c r="E4" s="29">
        <v>715</v>
      </c>
      <c r="F4" s="24">
        <v>0.02</v>
      </c>
      <c r="G4" s="25">
        <f t="shared" si="2"/>
        <v>23.1156893819334</v>
      </c>
      <c r="H4" s="25">
        <f t="shared" si="3"/>
        <v>729.3</v>
      </c>
      <c r="I4" s="25">
        <f t="shared" si="0"/>
        <v>14.3</v>
      </c>
      <c r="J4" s="25">
        <f t="shared" si="4"/>
        <v>8.57999999999997</v>
      </c>
      <c r="K4" s="25">
        <f t="shared" si="5"/>
        <v>5.71999999999998</v>
      </c>
    </row>
    <row r="5" customHeight="1" spans="1:11">
      <c r="A5" s="26"/>
      <c r="B5" s="27" t="s">
        <v>16</v>
      </c>
      <c r="C5" s="23">
        <f t="shared" si="1"/>
        <v>21.4216163583252</v>
      </c>
      <c r="D5" s="27">
        <v>30.81</v>
      </c>
      <c r="E5" s="27">
        <v>660</v>
      </c>
      <c r="F5" s="24">
        <v>0.02</v>
      </c>
      <c r="G5" s="25">
        <f t="shared" si="2"/>
        <v>21.8500486854917</v>
      </c>
      <c r="H5" s="25">
        <f t="shared" si="3"/>
        <v>673.2</v>
      </c>
      <c r="I5" s="25">
        <f t="shared" si="0"/>
        <v>13.2</v>
      </c>
      <c r="J5" s="25">
        <f t="shared" si="4"/>
        <v>7.92000000000003</v>
      </c>
      <c r="K5" s="25">
        <f t="shared" si="5"/>
        <v>5.28000000000002</v>
      </c>
    </row>
    <row r="6" customHeight="1" spans="1:11">
      <c r="A6" s="28" t="s">
        <v>17</v>
      </c>
      <c r="B6" s="22" t="s">
        <v>18</v>
      </c>
      <c r="C6" s="23">
        <f t="shared" si="1"/>
        <v>22.9793977812995</v>
      </c>
      <c r="D6" s="29">
        <v>31.55</v>
      </c>
      <c r="E6" s="29">
        <v>725</v>
      </c>
      <c r="F6" s="24">
        <v>0.02</v>
      </c>
      <c r="G6" s="25">
        <f t="shared" si="2"/>
        <v>23.4389857369255</v>
      </c>
      <c r="H6" s="25">
        <f t="shared" si="3"/>
        <v>739.5</v>
      </c>
      <c r="I6" s="25">
        <f t="shared" si="0"/>
        <v>14.5</v>
      </c>
      <c r="J6" s="25">
        <f t="shared" si="4"/>
        <v>8.7</v>
      </c>
      <c r="K6" s="25">
        <f t="shared" si="5"/>
        <v>5.8</v>
      </c>
    </row>
    <row r="7" customHeight="1" spans="1:11">
      <c r="A7" s="26"/>
      <c r="B7" s="27" t="s">
        <v>19</v>
      </c>
      <c r="C7" s="23">
        <f t="shared" si="1"/>
        <v>23.5173824130879</v>
      </c>
      <c r="D7" s="27">
        <v>29.34</v>
      </c>
      <c r="E7" s="27">
        <v>690</v>
      </c>
      <c r="F7" s="24">
        <v>0.02</v>
      </c>
      <c r="G7" s="25">
        <f t="shared" si="2"/>
        <v>23.9877300613497</v>
      </c>
      <c r="H7" s="25">
        <f t="shared" si="3"/>
        <v>703.8</v>
      </c>
      <c r="I7" s="25">
        <f t="shared" si="0"/>
        <v>13.8</v>
      </c>
      <c r="J7" s="25">
        <f t="shared" si="4"/>
        <v>8.27999999999997</v>
      </c>
      <c r="K7" s="25">
        <f t="shared" si="5"/>
        <v>5.51999999999998</v>
      </c>
    </row>
  </sheetData>
  <mergeCells count="3">
    <mergeCell ref="A2:A3"/>
    <mergeCell ref="A4:A5"/>
    <mergeCell ref="A6:A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K8"/>
  <sheetViews>
    <sheetView tabSelected="1" zoomScale="70" zoomScaleNormal="70" workbookViewId="0">
      <selection activeCell="E10" sqref="E10"/>
    </sheetView>
  </sheetViews>
  <sheetFormatPr defaultColWidth="16.1263157894737" defaultRowHeight="42.6" customHeight="1" outlineLevelRow="7"/>
  <cols>
    <col min="1" max="1" width="11" style="1" customWidth="1"/>
    <col min="2" max="2" width="11.6105263157895" style="1" customWidth="1"/>
    <col min="3" max="3" width="15.4157894736842" style="1" customWidth="1"/>
    <col min="4" max="4" width="12.1894736842105" style="1" customWidth="1"/>
    <col min="5" max="5" width="10.4473684210526" style="1" customWidth="1"/>
    <col min="6" max="6" width="16.7684210526316" style="1" customWidth="1"/>
    <col min="7" max="8" width="16.1263157894737" style="1"/>
    <col min="9" max="9" width="11.3210526315789" style="1" customWidth="1"/>
    <col min="12" max="12" width="14.2210526315789" style="1" customWidth="1"/>
    <col min="13" max="13" width="14.3210526315789" style="1" customWidth="1"/>
    <col min="14" max="14" width="11.3210526315789" style="1" customWidth="1"/>
    <col min="15" max="16384" width="16.1263157894737" style="1"/>
  </cols>
  <sheetData>
    <row r="1" customHeight="1" spans="1:11">
      <c r="A1" s="33" t="s">
        <v>0</v>
      </c>
      <c r="B1" s="33" t="s">
        <v>1</v>
      </c>
      <c r="C1" s="33" t="s">
        <v>20</v>
      </c>
      <c r="D1" s="33" t="s">
        <v>21</v>
      </c>
      <c r="E1" s="33" t="s">
        <v>22</v>
      </c>
      <c r="F1" s="33" t="s">
        <v>23</v>
      </c>
      <c r="G1" s="33" t="s">
        <v>24</v>
      </c>
      <c r="H1" s="1"/>
      <c r="I1" s="1"/>
      <c r="J1" s="1"/>
      <c r="K1" s="1"/>
    </row>
    <row r="2" customHeight="1" spans="1:11">
      <c r="A2" s="34" t="s">
        <v>11</v>
      </c>
      <c r="B2" s="34" t="s">
        <v>12</v>
      </c>
      <c r="C2" s="35">
        <f>140.23*364/10000</f>
        <v>5.104372</v>
      </c>
      <c r="D2" s="35">
        <v>30.91</v>
      </c>
      <c r="E2" s="35">
        <v>17.39</v>
      </c>
      <c r="F2" s="35">
        <v>2.59</v>
      </c>
      <c r="G2" s="35">
        <f>5.97+4.96</f>
        <v>10.93</v>
      </c>
      <c r="J2" s="1"/>
      <c r="K2" s="1"/>
    </row>
    <row r="3" customHeight="1" spans="1:11">
      <c r="A3" s="34"/>
      <c r="B3" s="36" t="s">
        <v>13</v>
      </c>
      <c r="C3" s="36">
        <f>140.23*364/10000</f>
        <v>5.104372</v>
      </c>
      <c r="D3" s="36">
        <v>30.81</v>
      </c>
      <c r="E3" s="36">
        <v>17.44</v>
      </c>
      <c r="F3" s="36">
        <v>2.48</v>
      </c>
      <c r="G3" s="36">
        <f>5.95+4.95</f>
        <v>10.9</v>
      </c>
      <c r="J3" s="1"/>
      <c r="K3" s="1"/>
    </row>
    <row r="4" customHeight="1" spans="1:11">
      <c r="A4" s="34" t="s">
        <v>14</v>
      </c>
      <c r="B4" s="34" t="s">
        <v>15</v>
      </c>
      <c r="C4" s="35">
        <f>140.23*372/10000</f>
        <v>5.216556</v>
      </c>
      <c r="D4" s="34">
        <v>31.55</v>
      </c>
      <c r="E4" s="34">
        <v>17.56</v>
      </c>
      <c r="F4" s="34">
        <v>2.83</v>
      </c>
      <c r="G4" s="34">
        <f>6.09+5.07</f>
        <v>11.16</v>
      </c>
      <c r="J4" s="1"/>
      <c r="K4" s="1"/>
    </row>
    <row r="5" customHeight="1" spans="1:11">
      <c r="A5" s="34"/>
      <c r="B5" s="36" t="s">
        <v>16</v>
      </c>
      <c r="C5" s="36">
        <f>140.23*364/10000</f>
        <v>5.104372</v>
      </c>
      <c r="D5" s="36">
        <v>30.81</v>
      </c>
      <c r="E5" s="36">
        <v>17.44</v>
      </c>
      <c r="F5" s="36">
        <v>2.48</v>
      </c>
      <c r="G5" s="36">
        <f>5.95+4.95</f>
        <v>10.9</v>
      </c>
      <c r="J5" s="1"/>
      <c r="K5" s="1"/>
    </row>
    <row r="6" customHeight="1" spans="1:11">
      <c r="A6" s="34" t="s">
        <v>17</v>
      </c>
      <c r="B6" s="34" t="s">
        <v>18</v>
      </c>
      <c r="C6" s="35">
        <f>140.23*372/10000</f>
        <v>5.216556</v>
      </c>
      <c r="D6" s="35">
        <v>31.55</v>
      </c>
      <c r="E6" s="35">
        <v>17.56</v>
      </c>
      <c r="F6" s="35">
        <v>2.83</v>
      </c>
      <c r="G6" s="35">
        <f>6.09+5.07</f>
        <v>11.16</v>
      </c>
      <c r="J6" s="1"/>
      <c r="K6" s="1"/>
    </row>
    <row r="7" customHeight="1" spans="1:11">
      <c r="A7" s="34"/>
      <c r="B7" s="36" t="s">
        <v>19</v>
      </c>
      <c r="C7" s="36">
        <f>140.23*364/10000</f>
        <v>5.104372</v>
      </c>
      <c r="D7" s="36">
        <v>29.34</v>
      </c>
      <c r="E7" s="36">
        <v>16.93</v>
      </c>
      <c r="F7" s="36">
        <v>2.03</v>
      </c>
      <c r="G7" s="36">
        <f>5.67+4.71</f>
        <v>10.38</v>
      </c>
      <c r="J7" s="1"/>
      <c r="K7" s="1"/>
    </row>
    <row r="8" customHeight="1" spans="10:11">
      <c r="J8" s="1"/>
      <c r="K8" s="1"/>
    </row>
  </sheetData>
  <mergeCells count="3">
    <mergeCell ref="A2:A3"/>
    <mergeCell ref="A4:A5"/>
    <mergeCell ref="A6:A7"/>
  </mergeCells>
  <pageMargins left="0.699305555555556" right="0.699305555555556" top="0.75" bottom="0.75" header="0.3" footer="0.3"/>
  <pageSetup paperSize="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zoomScale="55" zoomScaleNormal="55" workbookViewId="0">
      <selection activeCell="I10" sqref="I10"/>
    </sheetView>
  </sheetViews>
  <sheetFormatPr defaultColWidth="16.1263157894737" defaultRowHeight="42.6" customHeight="1" outlineLevelRow="6"/>
  <cols>
    <col min="1" max="1" width="11" style="1" customWidth="1"/>
    <col min="2" max="3" width="11.6105263157895" style="1" customWidth="1"/>
    <col min="4" max="4" width="12.1894736842105" style="1" customWidth="1"/>
    <col min="5" max="5" width="10.4473684210526" style="1" customWidth="1"/>
    <col min="6" max="6" width="8.73684210526316" style="1" customWidth="1"/>
    <col min="7" max="8" width="16.1263157894737" style="1"/>
    <col min="9" max="10" width="11.3210526315789" style="1" customWidth="1"/>
    <col min="11" max="11" width="12" style="1" customWidth="1"/>
    <col min="12" max="13" width="14.3210526315789" style="1" customWidth="1"/>
    <col min="14" max="16384" width="16.1263157894737" style="1"/>
  </cols>
  <sheetData>
    <row r="1" customHeight="1" spans="1:13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20" t="s">
        <v>6</v>
      </c>
      <c r="H1" s="20" t="s">
        <v>7</v>
      </c>
      <c r="I1" s="30" t="s">
        <v>25</v>
      </c>
      <c r="J1" s="30" t="s">
        <v>26</v>
      </c>
      <c r="K1" s="31" t="s">
        <v>8</v>
      </c>
      <c r="L1" s="18" t="s">
        <v>9</v>
      </c>
      <c r="M1" s="18" t="s">
        <v>10</v>
      </c>
    </row>
    <row r="2" customHeight="1" spans="1:13">
      <c r="A2" s="21" t="s">
        <v>11</v>
      </c>
      <c r="B2" s="22" t="s">
        <v>12</v>
      </c>
      <c r="C2" s="23">
        <f>E2/D2</f>
        <v>22.258168877386</v>
      </c>
      <c r="D2" s="22">
        <v>30.91</v>
      </c>
      <c r="E2" s="22">
        <v>688</v>
      </c>
      <c r="F2" s="24">
        <v>0.02</v>
      </c>
      <c r="G2" s="25">
        <f>H2/D2</f>
        <v>22.7033322549337</v>
      </c>
      <c r="H2" s="25">
        <f>E2*1+E2*F2</f>
        <v>701.76</v>
      </c>
      <c r="I2" s="25">
        <f>E2*2%</f>
        <v>13.76</v>
      </c>
      <c r="J2" s="32">
        <f>(I2+L2)/H2</f>
        <v>0.0313725490196078</v>
      </c>
      <c r="K2" s="25">
        <f t="shared" ref="K2:K7" si="0">H2-E2</f>
        <v>13.76</v>
      </c>
      <c r="L2" s="25">
        <f>K2*0.6</f>
        <v>8.25599999999999</v>
      </c>
      <c r="M2" s="25">
        <f>K2*0.4</f>
        <v>5.504</v>
      </c>
    </row>
    <row r="3" customHeight="1" spans="1:13">
      <c r="A3" s="26"/>
      <c r="B3" s="27" t="s">
        <v>13</v>
      </c>
      <c r="C3" s="23">
        <f t="shared" ref="C3:C7" si="1">E3/D3</f>
        <v>20.3829925348913</v>
      </c>
      <c r="D3" s="27">
        <v>30.81</v>
      </c>
      <c r="E3" s="27">
        <v>628</v>
      </c>
      <c r="F3" s="24">
        <v>0.02</v>
      </c>
      <c r="G3" s="25">
        <f t="shared" ref="G3:G7" si="2">H3/D3</f>
        <v>20.7906523855891</v>
      </c>
      <c r="H3" s="25">
        <f t="shared" ref="H3:H7" si="3">E3*1+E3*F3</f>
        <v>640.56</v>
      </c>
      <c r="I3" s="25">
        <f t="shared" ref="I3:I7" si="4">E3*2%</f>
        <v>12.56</v>
      </c>
      <c r="J3" s="32">
        <f t="shared" ref="J3:J7" si="5">(I3+L3)/H3</f>
        <v>0.0313725490196078</v>
      </c>
      <c r="K3" s="25">
        <f t="shared" si="0"/>
        <v>12.5599999999999</v>
      </c>
      <c r="L3" s="25">
        <f t="shared" ref="L3:L7" si="6">K3*0.6</f>
        <v>7.53599999999997</v>
      </c>
      <c r="M3" s="25">
        <f t="shared" ref="M3:M7" si="7">K3*0.4</f>
        <v>5.02399999999998</v>
      </c>
    </row>
    <row r="4" customHeight="1" spans="1:13">
      <c r="A4" s="28" t="s">
        <v>14</v>
      </c>
      <c r="B4" s="22" t="s">
        <v>15</v>
      </c>
      <c r="C4" s="23">
        <f t="shared" si="1"/>
        <v>22.662440570523</v>
      </c>
      <c r="D4" s="29">
        <v>31.55</v>
      </c>
      <c r="E4" s="29">
        <v>715</v>
      </c>
      <c r="F4" s="24">
        <v>0.02</v>
      </c>
      <c r="G4" s="25">
        <f t="shared" si="2"/>
        <v>23.1156893819334</v>
      </c>
      <c r="H4" s="25">
        <f t="shared" si="3"/>
        <v>729.3</v>
      </c>
      <c r="I4" s="25">
        <f t="shared" si="4"/>
        <v>14.3</v>
      </c>
      <c r="J4" s="32">
        <f t="shared" si="5"/>
        <v>0.0313725490196078</v>
      </c>
      <c r="K4" s="25">
        <f t="shared" si="0"/>
        <v>14.3</v>
      </c>
      <c r="L4" s="25">
        <f t="shared" si="6"/>
        <v>8.57999999999997</v>
      </c>
      <c r="M4" s="25">
        <f t="shared" si="7"/>
        <v>5.71999999999998</v>
      </c>
    </row>
    <row r="5" customHeight="1" spans="1:13">
      <c r="A5" s="26"/>
      <c r="B5" s="27" t="s">
        <v>16</v>
      </c>
      <c r="C5" s="23">
        <f t="shared" si="1"/>
        <v>21.4216163583252</v>
      </c>
      <c r="D5" s="27">
        <v>30.81</v>
      </c>
      <c r="E5" s="27">
        <v>660</v>
      </c>
      <c r="F5" s="24">
        <v>0.02</v>
      </c>
      <c r="G5" s="25">
        <f t="shared" si="2"/>
        <v>21.8500486854917</v>
      </c>
      <c r="H5" s="25">
        <f t="shared" si="3"/>
        <v>673.2</v>
      </c>
      <c r="I5" s="25">
        <f t="shared" si="4"/>
        <v>13.2</v>
      </c>
      <c r="J5" s="32">
        <f t="shared" si="5"/>
        <v>0.0313725490196079</v>
      </c>
      <c r="K5" s="25">
        <f t="shared" si="0"/>
        <v>13.2</v>
      </c>
      <c r="L5" s="25">
        <f t="shared" si="6"/>
        <v>7.92000000000003</v>
      </c>
      <c r="M5" s="25">
        <f t="shared" si="7"/>
        <v>5.28000000000002</v>
      </c>
    </row>
    <row r="6" customHeight="1" spans="1:13">
      <c r="A6" s="28" t="s">
        <v>17</v>
      </c>
      <c r="B6" s="22" t="s">
        <v>18</v>
      </c>
      <c r="C6" s="23">
        <f t="shared" si="1"/>
        <v>22.9793977812995</v>
      </c>
      <c r="D6" s="29">
        <v>31.55</v>
      </c>
      <c r="E6" s="29">
        <v>725</v>
      </c>
      <c r="F6" s="24">
        <v>0.02</v>
      </c>
      <c r="G6" s="25">
        <f t="shared" si="2"/>
        <v>23.4389857369255</v>
      </c>
      <c r="H6" s="25">
        <f t="shared" si="3"/>
        <v>739.5</v>
      </c>
      <c r="I6" s="25">
        <f t="shared" si="4"/>
        <v>14.5</v>
      </c>
      <c r="J6" s="32">
        <f t="shared" si="5"/>
        <v>0.0313725490196078</v>
      </c>
      <c r="K6" s="25">
        <f t="shared" si="0"/>
        <v>14.5</v>
      </c>
      <c r="L6" s="25">
        <f t="shared" si="6"/>
        <v>8.7</v>
      </c>
      <c r="M6" s="25">
        <f t="shared" si="7"/>
        <v>5.8</v>
      </c>
    </row>
    <row r="7" customHeight="1" spans="1:13">
      <c r="A7" s="26"/>
      <c r="B7" s="27" t="s">
        <v>19</v>
      </c>
      <c r="C7" s="23">
        <f t="shared" si="1"/>
        <v>23.5173824130879</v>
      </c>
      <c r="D7" s="27">
        <v>29.34</v>
      </c>
      <c r="E7" s="27">
        <v>690</v>
      </c>
      <c r="F7" s="24">
        <v>0.02</v>
      </c>
      <c r="G7" s="25">
        <f t="shared" si="2"/>
        <v>23.9877300613497</v>
      </c>
      <c r="H7" s="25">
        <f t="shared" si="3"/>
        <v>703.8</v>
      </c>
      <c r="I7" s="25">
        <f t="shared" si="4"/>
        <v>13.8</v>
      </c>
      <c r="J7" s="32">
        <f t="shared" si="5"/>
        <v>0.0313725490196078</v>
      </c>
      <c r="K7" s="25">
        <f t="shared" si="0"/>
        <v>13.8</v>
      </c>
      <c r="L7" s="25">
        <f t="shared" si="6"/>
        <v>8.27999999999997</v>
      </c>
      <c r="M7" s="25">
        <f t="shared" si="7"/>
        <v>5.51999999999998</v>
      </c>
    </row>
  </sheetData>
  <mergeCells count="3">
    <mergeCell ref="A2:A3"/>
    <mergeCell ref="A4:A5"/>
    <mergeCell ref="A6:A7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"/>
  <sheetViews>
    <sheetView workbookViewId="0">
      <selection activeCell="G1" sqref="G1"/>
    </sheetView>
  </sheetViews>
  <sheetFormatPr defaultColWidth="11.4789473684211" defaultRowHeight="27.5" outlineLevelCol="6"/>
  <cols>
    <col min="1" max="3" width="11.4789473684211" style="1"/>
    <col min="4" max="4" width="15.0631578947368" style="1" customWidth="1"/>
    <col min="5" max="6" width="11.4789473684211" style="1"/>
    <col min="7" max="7" width="17.6736842105263" style="1" customWidth="1"/>
    <col min="8" max="16384" width="11.4789473684211" style="1"/>
  </cols>
  <sheetData>
    <row r="1" spans="1:7">
      <c r="A1" s="2" t="s">
        <v>27</v>
      </c>
      <c r="B1" s="3" t="s">
        <v>28</v>
      </c>
      <c r="C1" s="3" t="s">
        <v>2</v>
      </c>
      <c r="D1" s="3" t="s">
        <v>29</v>
      </c>
      <c r="E1" s="3" t="s">
        <v>4</v>
      </c>
      <c r="F1" s="3" t="s">
        <v>30</v>
      </c>
      <c r="G1" s="4" t="s">
        <v>31</v>
      </c>
    </row>
    <row r="2" spans="1:7">
      <c r="A2" s="5" t="s">
        <v>32</v>
      </c>
      <c r="B2" s="6" t="s">
        <v>33</v>
      </c>
      <c r="C2" s="6">
        <v>8000</v>
      </c>
      <c r="D2" s="6">
        <v>3</v>
      </c>
      <c r="E2" s="6">
        <f>C2*D2</f>
        <v>24000</v>
      </c>
      <c r="F2" s="7">
        <f>SUM(E2:E171)</f>
        <v>109800</v>
      </c>
      <c r="G2" s="8">
        <f>F2*1.2</f>
        <v>131760</v>
      </c>
    </row>
    <row r="3" spans="1:7">
      <c r="A3" s="9"/>
      <c r="B3" s="6" t="s">
        <v>34</v>
      </c>
      <c r="C3" s="6">
        <v>350</v>
      </c>
      <c r="D3" s="6">
        <v>4</v>
      </c>
      <c r="E3" s="6">
        <f>C3*D3</f>
        <v>1400</v>
      </c>
      <c r="F3" s="10"/>
      <c r="G3" s="11"/>
    </row>
    <row r="4" spans="1:7">
      <c r="A4" s="9"/>
      <c r="B4" s="6" t="s">
        <v>35</v>
      </c>
      <c r="C4" s="6">
        <v>500</v>
      </c>
      <c r="D4" s="6">
        <v>6</v>
      </c>
      <c r="E4" s="6">
        <f t="shared" ref="E4:E10" si="0">C4*D4</f>
        <v>3000</v>
      </c>
      <c r="F4" s="10"/>
      <c r="G4" s="11"/>
    </row>
    <row r="5" spans="1:7">
      <c r="A5" s="9"/>
      <c r="B5" s="6" t="s">
        <v>36</v>
      </c>
      <c r="C5" s="6">
        <v>1500</v>
      </c>
      <c r="D5" s="6">
        <v>4</v>
      </c>
      <c r="E5" s="6">
        <f t="shared" si="0"/>
        <v>6000</v>
      </c>
      <c r="F5" s="10"/>
      <c r="G5" s="11"/>
    </row>
    <row r="6" spans="1:7">
      <c r="A6" s="12"/>
      <c r="B6" s="6" t="s">
        <v>37</v>
      </c>
      <c r="C6" s="6">
        <v>2</v>
      </c>
      <c r="D6" s="6">
        <v>200</v>
      </c>
      <c r="E6" s="6">
        <f t="shared" si="0"/>
        <v>400</v>
      </c>
      <c r="F6" s="10"/>
      <c r="G6" s="11"/>
    </row>
    <row r="7" spans="1:7">
      <c r="A7" s="13" t="s">
        <v>38</v>
      </c>
      <c r="B7" s="6" t="s">
        <v>39</v>
      </c>
      <c r="C7" s="6">
        <v>5000</v>
      </c>
      <c r="D7" s="6">
        <f>3*3</f>
        <v>9</v>
      </c>
      <c r="E7" s="6">
        <f t="shared" si="0"/>
        <v>45000</v>
      </c>
      <c r="F7" s="10"/>
      <c r="G7" s="11"/>
    </row>
    <row r="8" spans="1:7">
      <c r="A8" s="13" t="s">
        <v>40</v>
      </c>
      <c r="B8" s="6">
        <v>591</v>
      </c>
      <c r="C8" s="6">
        <v>1200</v>
      </c>
      <c r="D8" s="6">
        <v>2</v>
      </c>
      <c r="E8" s="6">
        <f t="shared" si="0"/>
        <v>2400</v>
      </c>
      <c r="F8" s="10"/>
      <c r="G8" s="11"/>
    </row>
    <row r="9" spans="1:7">
      <c r="A9" s="5" t="s">
        <v>41</v>
      </c>
      <c r="B9" s="6" t="s">
        <v>42</v>
      </c>
      <c r="C9" s="6">
        <v>5000</v>
      </c>
      <c r="D9" s="6">
        <v>3</v>
      </c>
      <c r="E9" s="6">
        <f t="shared" si="0"/>
        <v>15000</v>
      </c>
      <c r="F9" s="10"/>
      <c r="G9" s="11"/>
    </row>
    <row r="10" ht="28.25" spans="1:7">
      <c r="A10" s="14"/>
      <c r="B10" s="15" t="s">
        <v>43</v>
      </c>
      <c r="C10" s="15">
        <v>300</v>
      </c>
      <c r="D10" s="15">
        <f>3*1*4*3.5</f>
        <v>42</v>
      </c>
      <c r="E10" s="15">
        <f t="shared" si="0"/>
        <v>12600</v>
      </c>
      <c r="F10" s="16"/>
      <c r="G10" s="17"/>
    </row>
  </sheetData>
  <mergeCells count="4">
    <mergeCell ref="A2:A6"/>
    <mergeCell ref="A9:A10"/>
    <mergeCell ref="F2:F10"/>
    <mergeCell ref="G2:G10"/>
  </mergeCells>
  <conditionalFormatting sqref="E2:E10">
    <cfRule type="cellIs" dxfId="0" priority="1" operator="greaterThan">
      <formula>10000</formula>
    </cfRule>
  </conditionalFormatting>
  <dataValidations count="1">
    <dataValidation type="list" allowBlank="1" showInputMessage="1" showErrorMessage="1" sqref="A2 A7:A9">
      <formula1>$A$2:$A$8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工作表1 (3)</vt:lpstr>
      <vt:lpstr>工作表1 (2)</vt:lpstr>
      <vt:lpstr>資材設備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其衛 林</dc:creator>
  <cp:lastModifiedBy>其衛 林</cp:lastModifiedBy>
  <dcterms:created xsi:type="dcterms:W3CDTF">2025-03-20T12:39:00Z</dcterms:created>
  <cp:lastPrinted>2025-03-24T03:16:00Z</cp:lastPrinted>
  <dcterms:modified xsi:type="dcterms:W3CDTF">2025-05-01T05:55:03Z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